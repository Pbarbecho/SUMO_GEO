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Rúbrica" sheetId="2" state="visible" r:id="rId4"/>
    <sheet name="Detalle y fu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<sst xmlns="http://schemas.openxmlformats.org/spreadsheetml/2006/main" count="95" uniqueCount="82">
  <si>
    <t xml:space="preserve">SUMO-GEO · Matriz de evaluación de herramientas 3D (prototipo, 3D en navegador)</t>
  </si>
  <si>
    <t xml:space="preserve">Pesos (editables)</t>
  </si>
  <si>
    <t xml:space="preserve">(=100%)</t>
  </si>
  <si>
    <t xml:space="preserve">Herramienta</t>
  </si>
  <si>
    <t xml:space="preserve">Stack / conector</t>
  </si>
  <si>
    <t xml:space="preserve">Viabilidad
en navegador</t>
  </si>
  <si>
    <t xml:space="preserve">Interfaz con
SUMO</t>
  </si>
  <si>
    <t xml:space="preserve">Escalabilidad</t>
  </si>
  <si>
    <t xml:space="preserve">Realismo
visual</t>
  </si>
  <si>
    <t xml:space="preserve">Esfuerzo / time-to-proto
(mayor = más fácil)</t>
  </si>
  <si>
    <t xml:space="preserve">Madurez /
licencia / comunidad</t>
  </si>
  <si>
    <t xml:space="preserve">Puntuación
ponderada</t>
  </si>
  <si>
    <t xml:space="preserve">Rank</t>
  </si>
  <si>
    <t xml:space="preserve">Rol / nota</t>
  </si>
  <si>
    <t xml:space="preserve">MapLibre GL JS + deck.gl</t>
  </si>
  <si>
    <t xml:space="preserve">Web-native (JS)</t>
  </si>
  <si>
    <t xml:space="preserve">Runtime recomendado (stack de GeoLibre). Este repo.</t>
  </si>
  <si>
    <t xml:space="preserve">GeoLibre</t>
  </si>
  <si>
    <t xml:space="preserve">MapLibre+deck.gl (MIT)</t>
  </si>
  <si>
    <t xml:space="preserve">Mejor vía para polígonos de edificios + shell GIS.</t>
  </si>
  <si>
    <t xml:space="preserve">CesiumJS + 3D Tiles / OSM Buildings</t>
  </si>
  <si>
    <t xml:space="preserve">Alternativa a escala metropolitana/global.</t>
  </si>
  <si>
    <t xml:space="preserve">three.js</t>
  </si>
  <si>
    <t xml:space="preserve">Control total del render; más plumbing geoespacial.</t>
  </si>
  <si>
    <t xml:space="preserve">sumo3Dviz</t>
  </si>
  <si>
    <t xml:space="preserve">Python (pip)</t>
  </si>
  <si>
    <t xml:space="preserve">Excelente para renders offline/figuras, no interactivo.</t>
  </si>
  <si>
    <t xml:space="preserve">Unity + SUMO2Unity / Traffic3D</t>
  </si>
  <si>
    <t xml:space="preserve">Motor (C#)</t>
  </si>
  <si>
    <t xml:space="preserve">Conector maduro, pero escritorio/VR; WebGL limitado.</t>
  </si>
  <si>
    <t xml:space="preserve">Godot Engine</t>
  </si>
  <si>
    <t xml:space="preserve">Motor (GDScript/C#)</t>
  </si>
  <si>
    <t xml:space="preserve">Export HTML5 ok, pero sin conector SUMO establecido.</t>
  </si>
  <si>
    <t xml:space="preserve">Unreal Engine 5 + Sumo2Unreal / PCG</t>
  </si>
  <si>
    <t xml:space="preserve">Motor (C++)</t>
  </si>
  <si>
    <t xml:space="preserve">Fotorrealismo, pero solo pixel-streaming (infra GPU).</t>
  </si>
  <si>
    <t xml:space="preserve">Blender + BlenderGIS</t>
  </si>
  <si>
    <t xml:space="preserve">Autoría (Python)</t>
  </si>
  <si>
    <t xml:space="preserve">Herramienta de assets glTF, no runtime interactivo.</t>
  </si>
  <si>
    <t xml:space="preserve">Escala 1–5 (1 = deficiente, 5 = excelente). Puntuación ponderada = SUMPRODUCT(pesos, puntuaciones). Ajusta los pesos amarillos (fila 3) para tu caso; el ranking se recalcula. Contexto: prototipo con render 3D en navegador.</t>
  </si>
  <si>
    <t xml:space="preserve">Criterios y rúbrica de puntuación (1–5)</t>
  </si>
  <si>
    <t xml:space="preserve">Criterio</t>
  </si>
  <si>
    <t xml:space="preserve">Peso</t>
  </si>
  <si>
    <t xml:space="preserve">Qué mide y cómo se puntúa (1 = bajo · 5 = alto)</t>
  </si>
  <si>
    <t xml:space="preserve">Viabilidad en navegador</t>
  </si>
  <si>
    <t xml:space="preserve">25%</t>
  </si>
  <si>
    <t xml:space="preserve">Capacidad de renderizar el 3D dentro del navegador sin instalar nada. 5 = nativo web; 1 = requiere app/instalación o streaming de servidor.</t>
  </si>
  <si>
    <t xml:space="preserve">Interfaz con SUMO</t>
  </si>
  <si>
    <t xml:space="preserve">Madurez del puente con SUMO (TraCI/libsumo, importadores). 5 = conector directo/probado; 1 = habría que construirlo.</t>
  </si>
  <si>
    <t xml:space="preserve">20%</t>
  </si>
  <si>
    <t xml:space="preserve">Nº de vehículos/edificios y tamaño de ciudad sostenibles en tiempo real. 5 = escala metropolitana; 1 = solo escenas pequeñas.</t>
  </si>
  <si>
    <t xml:space="preserve">Realismo visual</t>
  </si>
  <si>
    <t xml:space="preserve">15%</t>
  </si>
  <si>
    <t xml:space="preserve">Calidad gráfica (iluminación, materiales, geometría). 5 = fotorrealismo de motor; 1 = básico.</t>
  </si>
  <si>
    <t xml:space="preserve">Esfuerzo / time-to-proto</t>
  </si>
  <si>
    <t xml:space="preserve">10%</t>
  </si>
  <si>
    <t xml:space="preserve">Rapidez para llegar a un demo funcional (mayor = más fácil). 5 = sin build, casi inmediato; 1 = integración compleja.</t>
  </si>
  <si>
    <t xml:space="preserve">Madurez / licencia / comunidad</t>
  </si>
  <si>
    <t xml:space="preserve">5%</t>
  </si>
  <si>
    <t xml:space="preserve">Estabilidad, licencia abierta y soporte de comunidad. 5 = maduro y permisivo; 1 = incipiente o restrictivo.</t>
  </si>
  <si>
    <t xml:space="preserve">Justificación por herramienta y fuentes</t>
  </si>
  <si>
    <t xml:space="preserve">Valoración clave</t>
  </si>
  <si>
    <t xml:space="preserve">Fuente</t>
  </si>
  <si>
    <t xml:space="preserve">Nativo web; fill-extrusion de edificios + deck.gl para 100k+ puntos; patrón backend TraCI→GeoJSON/WS ya funcionando en este repo. Mejor time-to-proto.</t>
  </si>
  <si>
    <t xml:space="preserve">maplibre.org · deck.gl · FOSS4G 2025 (comparativa)</t>
  </si>
  <si>
    <t xml:space="preserve">MIT. Stack MapLibre+deck.gl productizado; carga OSM PBF/Overture (footprints), extrusión, DuckDB-WASM, export GeoJSON; expone app.getDeckGL() para pintar vehículos en su instancia.</t>
  </si>
  <si>
    <t xml:space="preserve">github.com/opengeos/GeoLibre</t>
  </si>
  <si>
    <t xml:space="preserve">CesiumJS + 3D Tiles</t>
  </si>
  <si>
    <t xml:space="preserve">Estándar de facto para 3D geoespacial global; streaming 3D Tiles + HLOD, OSM Buildings. Más escalable, algo más de curva.</t>
  </si>
  <si>
    <t xml:space="preserve">cesium.com · FOSS4G 2025</t>
  </si>
  <si>
    <t xml:space="preserve">Control total de render/shaders; sin capa geoespacial ni mapa base (más trabajo). MIT, comunidad enorme.</t>
  </si>
  <si>
    <t xml:space="preserve">threejs.org</t>
  </si>
  <si>
    <t xml:space="preserve">Pipeline Python (pip) que convierte salidas de SUMO en renders 3D de alta calidad (cámaras externas y en primera persona). Offline: ideal para figuras/vídeo, no para control interactivo en navegador.</t>
  </si>
  <si>
    <t xml:space="preserve">arxiv 2604.19194 · github.com/DerKevinRiehl/sumo3dviz</t>
  </si>
  <si>
    <t xml:space="preserve">SUMO2Unity (MIT code, CC-BY assets): importa la red de SUMO e intercambia trayectorias (X,Y,Z) + semáforos cada 0.10 s. Orientado a escritorio/VR; WebGL con límites de memoria a escala ciudad.</t>
  </si>
  <si>
    <t xml:space="preserve">github.com/SimuTraffX-Lab/SUMO2Unity · IEEE IV 2024</t>
  </si>
  <si>
    <t xml:space="preserve">Export HTML5/WebGL2 disponible y más ligero que Unity WebGL, pero no existe conector SUMO/TraCI maduro (habría que construirlo).</t>
  </si>
  <si>
    <t xml:space="preserve">docs.godotengine.org (Exporting for the Web)</t>
  </si>
  <si>
    <t xml:space="preserve">Máximo fotorrealismo y PCG procedural; conector Sumo2Unreal en C++. En navegador solo por pixel-streaming (GPU de servidor por usuario): infra pesada, no encaja en 'solo navegador'.</t>
  </si>
  <si>
    <t xml:space="preserve">traffic.bme.hu (SUMO+UE) · Epic PCG</t>
  </si>
  <si>
    <t xml:space="preserve">Importa GIS/OSM y produce assets 3D/glTF de alta calidad; es herramienta de autoría, no runtime de simulación. Útil para generar modelos que luego cargan deck.gl/three.js.</t>
  </si>
  <si>
    <t xml:space="preserve">github.com/domlysz/BlenderGIS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</si>
</sst>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60606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2E5E8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57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5E8C"/>
        <bgColor rgb="FF60606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B57"/>
      <rgbColor rgb="FF339966"/>
      <rgbColor rgb="FF003300"/>
      <rgbColor rgb="FF333300"/>
      <rgbColor rgb="FF993300"/>
      <rgbColor rgb="FF993366"/>
      <rgbColor rgb="FF2E5E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3"/>
      <c r="C3" s="4" t="n">
        <v>0.25</v>
      </c>
      <c r="D3" s="4" t="n">
        <v>0.25</v>
      </c>
      <c r="E3" s="4" t="n">
        <v>0.2</v>
      </c>
      <c r="F3" s="4" t="n">
        <v>0.15</v>
      </c>
      <c r="G3" s="4" t="n">
        <v>0.1</v>
      </c>
      <c r="H3" s="4" t="n">
        <v>0.05</v>
      </c>
      <c r="I3" s="5" t="n">
        <f aca="false">SUM(C3:H3)</f>
        <v>1</v>
      </c>
      <c r="J3" s="6" t="s">
        <v>2</v>
      </c>
      <c r="K3" s="7"/>
    </row>
    <row r="4" customFormat="false" ht="43.5" hidden="false" customHeight="true" outlineLevel="0" collapsed="false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</row>
    <row r="5" customFormat="false" ht="30" hidden="false" customHeight="true" outlineLevel="0" collapsed="false">
      <c r="A5" s="9" t="s">
        <v>14</v>
      </c>
      <c r="B5" s="10" t="s">
        <v>15</v>
      </c>
      <c r="C5" s="11" t="n">
        <v>5</v>
      </c>
      <c r="D5" s="11" t="n">
        <v>4</v>
      </c>
      <c r="E5" s="11" t="n">
        <v>4</v>
      </c>
      <c r="F5" s="11" t="n">
        <v>3</v>
      </c>
      <c r="G5" s="11" t="n">
        <v>5</v>
      </c>
      <c r="H5" s="11" t="n">
        <v>5</v>
      </c>
      <c r="I5" s="12" t="n">
        <f aca="false">SUMPRODUCT($C$3:$H$3,C5:H5)</f>
        <v>4.25</v>
      </c>
      <c r="J5" s="13" t="n">
        <f aca="false">RANK(I5,$I$5:$I$13,0)</f>
        <v>1</v>
      </c>
      <c r="K5" s="10" t="s">
        <v>16</v>
      </c>
    </row>
    <row r="6" customFormat="false" ht="30" hidden="false" customHeight="true" outlineLevel="0" collapsed="false">
      <c r="A6" s="14" t="s">
        <v>17</v>
      </c>
      <c r="B6" s="15" t="s">
        <v>18</v>
      </c>
      <c r="C6" s="11" t="n">
        <v>5</v>
      </c>
      <c r="D6" s="11" t="n">
        <v>3</v>
      </c>
      <c r="E6" s="11" t="n">
        <v>4</v>
      </c>
      <c r="F6" s="11" t="n">
        <v>3</v>
      </c>
      <c r="G6" s="11" t="n">
        <v>4</v>
      </c>
      <c r="H6" s="11" t="n">
        <v>4</v>
      </c>
      <c r="I6" s="12" t="n">
        <f aca="false">SUMPRODUCT($C$3:$H$3,C6:H6)</f>
        <v>3.85</v>
      </c>
      <c r="J6" s="13" t="n">
        <f aca="false">RANK(I6,$I$5:$I$13,0)</f>
        <v>3</v>
      </c>
      <c r="K6" s="15" t="s">
        <v>19</v>
      </c>
    </row>
    <row r="7" customFormat="false" ht="30" hidden="false" customHeight="true" outlineLevel="0" collapsed="false">
      <c r="A7" s="9" t="s">
        <v>20</v>
      </c>
      <c r="B7" s="10" t="s">
        <v>15</v>
      </c>
      <c r="C7" s="11" t="n">
        <v>5</v>
      </c>
      <c r="D7" s="11" t="n">
        <v>3</v>
      </c>
      <c r="E7" s="11" t="n">
        <v>5</v>
      </c>
      <c r="F7" s="11" t="n">
        <v>4</v>
      </c>
      <c r="G7" s="11" t="n">
        <v>3</v>
      </c>
      <c r="H7" s="11" t="n">
        <v>5</v>
      </c>
      <c r="I7" s="12" t="n">
        <f aca="false">SUMPRODUCT($C$3:$H$3,C7:H7)</f>
        <v>4.15</v>
      </c>
      <c r="J7" s="13" t="n">
        <f aca="false">RANK(I7,$I$5:$I$13,0)</f>
        <v>2</v>
      </c>
      <c r="K7" s="10" t="s">
        <v>21</v>
      </c>
    </row>
    <row r="8" customFormat="false" ht="30" hidden="false" customHeight="true" outlineLevel="0" collapsed="false">
      <c r="A8" s="14" t="s">
        <v>22</v>
      </c>
      <c r="B8" s="15" t="s">
        <v>15</v>
      </c>
      <c r="C8" s="11" t="n">
        <v>5</v>
      </c>
      <c r="D8" s="11" t="n">
        <v>3</v>
      </c>
      <c r="E8" s="11" t="n">
        <v>4</v>
      </c>
      <c r="F8" s="11" t="n">
        <v>4</v>
      </c>
      <c r="G8" s="11" t="n">
        <v>2</v>
      </c>
      <c r="H8" s="11" t="n">
        <v>5</v>
      </c>
      <c r="I8" s="12" t="n">
        <f aca="false">SUMPRODUCT($C$3:$H$3,C8:H8)</f>
        <v>3.85</v>
      </c>
      <c r="J8" s="13" t="n">
        <f aca="false">RANK(I8,$I$5:$I$13,0)</f>
        <v>3</v>
      </c>
      <c r="K8" s="15" t="s">
        <v>23</v>
      </c>
    </row>
    <row r="9" customFormat="false" ht="30" hidden="false" customHeight="true" outlineLevel="0" collapsed="false">
      <c r="A9" s="9" t="s">
        <v>24</v>
      </c>
      <c r="B9" s="10" t="s">
        <v>25</v>
      </c>
      <c r="C9" s="11" t="n">
        <v>2</v>
      </c>
      <c r="D9" s="11" t="n">
        <v>5</v>
      </c>
      <c r="E9" s="11" t="n">
        <v>3</v>
      </c>
      <c r="F9" s="11" t="n">
        <v>4</v>
      </c>
      <c r="G9" s="11" t="n">
        <v>4</v>
      </c>
      <c r="H9" s="11" t="n">
        <v>3</v>
      </c>
      <c r="I9" s="12" t="n">
        <f aca="false">SUMPRODUCT($C$3:$H$3,C9:H9)</f>
        <v>3.5</v>
      </c>
      <c r="J9" s="13" t="n">
        <f aca="false">RANK(I9,$I$5:$I$13,0)</f>
        <v>5</v>
      </c>
      <c r="K9" s="10" t="s">
        <v>26</v>
      </c>
    </row>
    <row r="10" customFormat="false" ht="30" hidden="false" customHeight="true" outlineLevel="0" collapsed="false">
      <c r="A10" s="14" t="s">
        <v>27</v>
      </c>
      <c r="B10" s="15" t="s">
        <v>28</v>
      </c>
      <c r="C10" s="11" t="n">
        <v>2</v>
      </c>
      <c r="D10" s="11" t="n">
        <v>4</v>
      </c>
      <c r="E10" s="11" t="n">
        <v>3</v>
      </c>
      <c r="F10" s="11" t="n">
        <v>5</v>
      </c>
      <c r="G10" s="11" t="n">
        <v>2</v>
      </c>
      <c r="H10" s="11" t="n">
        <v>4</v>
      </c>
      <c r="I10" s="12" t="n">
        <f aca="false">SUMPRODUCT($C$3:$H$3,C10:H10)</f>
        <v>3.25</v>
      </c>
      <c r="J10" s="13" t="n">
        <f aca="false">RANK(I10,$I$5:$I$13,0)</f>
        <v>6</v>
      </c>
      <c r="K10" s="15" t="s">
        <v>29</v>
      </c>
    </row>
    <row r="11" customFormat="false" ht="30" hidden="false" customHeight="true" outlineLevel="0" collapsed="false">
      <c r="A11" s="9" t="s">
        <v>30</v>
      </c>
      <c r="B11" s="10" t="s">
        <v>31</v>
      </c>
      <c r="C11" s="11" t="n">
        <v>3</v>
      </c>
      <c r="D11" s="11" t="n">
        <v>2</v>
      </c>
      <c r="E11" s="11" t="n">
        <v>3</v>
      </c>
      <c r="F11" s="11" t="n">
        <v>3</v>
      </c>
      <c r="G11" s="11" t="n">
        <v>2</v>
      </c>
      <c r="H11" s="11" t="n">
        <v>4</v>
      </c>
      <c r="I11" s="12" t="n">
        <f aca="false">SUMPRODUCT($C$3:$H$3,C11:H11)</f>
        <v>2.7</v>
      </c>
      <c r="J11" s="13" t="n">
        <f aca="false">RANK(I11,$I$5:$I$13,0)</f>
        <v>8</v>
      </c>
      <c r="K11" s="10" t="s">
        <v>32</v>
      </c>
    </row>
    <row r="12" customFormat="false" ht="30" hidden="false" customHeight="true" outlineLevel="0" collapsed="false">
      <c r="A12" s="14" t="s">
        <v>33</v>
      </c>
      <c r="B12" s="15" t="s">
        <v>34</v>
      </c>
      <c r="C12" s="11" t="n">
        <v>1</v>
      </c>
      <c r="D12" s="11" t="n">
        <v>3</v>
      </c>
      <c r="E12" s="11" t="n">
        <v>4</v>
      </c>
      <c r="F12" s="11" t="n">
        <v>5</v>
      </c>
      <c r="G12" s="11" t="n">
        <v>1</v>
      </c>
      <c r="H12" s="11" t="n">
        <v>3</v>
      </c>
      <c r="I12" s="12" t="n">
        <f aca="false">SUMPRODUCT($C$3:$H$3,C12:H12)</f>
        <v>2.8</v>
      </c>
      <c r="J12" s="13" t="n">
        <f aca="false">RANK(I12,$I$5:$I$13,0)</f>
        <v>7</v>
      </c>
      <c r="K12" s="15" t="s">
        <v>35</v>
      </c>
    </row>
    <row r="13" customFormat="false" ht="30" hidden="false" customHeight="true" outlineLevel="0" collapsed="false">
      <c r="A13" s="9" t="s">
        <v>36</v>
      </c>
      <c r="B13" s="10" t="s">
        <v>37</v>
      </c>
      <c r="C13" s="11" t="n">
        <v>1</v>
      </c>
      <c r="D13" s="11" t="n">
        <v>2</v>
      </c>
      <c r="E13" s="11" t="n">
        <v>2</v>
      </c>
      <c r="F13" s="11" t="n">
        <v>5</v>
      </c>
      <c r="G13" s="11" t="n">
        <v>2</v>
      </c>
      <c r="H13" s="11" t="n">
        <v>4</v>
      </c>
      <c r="I13" s="12" t="n">
        <f aca="false">SUMPRODUCT($C$3:$H$3,C13:H13)</f>
        <v>2.3</v>
      </c>
      <c r="J13" s="13" t="n">
        <f aca="false">RANK(I13,$I$5:$I$13,0)</f>
        <v>9</v>
      </c>
      <c r="K13" s="10" t="s">
        <v>38</v>
      </c>
    </row>
    <row r="15" customFormat="false" ht="15" hidden="false" customHeight="false" outlineLevel="0" collapsed="false">
      <c r="A15" s="16" t="s">
        <v>39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</sheetData>
  <mergeCells count="2">
    <mergeCell ref="A1:K1"/>
    <mergeCell ref="A15:K15"/>
  </mergeCells>
  <conditionalFormatting sqref="C5:H13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I5:I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88"/>
  </cols>
  <sheetData>
    <row r="1" customFormat="false" ht="21.75" hidden="false" customHeight="true" outlineLevel="0" collapsed="false">
      <c r="A1" s="17" t="s">
        <v>40</v>
      </c>
      <c r="B1" s="17"/>
      <c r="C1" s="17"/>
    </row>
    <row r="2" customFormat="false" ht="15" hidden="false" customHeight="false" outlineLevel="0" collapsed="false">
      <c r="A2" s="18" t="s">
        <v>41</v>
      </c>
      <c r="B2" s="18" t="s">
        <v>42</v>
      </c>
      <c r="C2" s="18" t="s">
        <v>43</v>
      </c>
    </row>
    <row r="3" customFormat="false" ht="45.75" hidden="false" customHeight="true" outlineLevel="0" collapsed="false">
      <c r="A3" s="9" t="s">
        <v>44</v>
      </c>
      <c r="B3" s="19" t="s">
        <v>45</v>
      </c>
      <c r="C3" s="20" t="s">
        <v>46</v>
      </c>
    </row>
    <row r="4" customFormat="false" ht="45.75" hidden="false" customHeight="true" outlineLevel="0" collapsed="false">
      <c r="A4" s="14" t="s">
        <v>47</v>
      </c>
      <c r="B4" s="21" t="s">
        <v>45</v>
      </c>
      <c r="C4" s="22" t="s">
        <v>48</v>
      </c>
    </row>
    <row r="5" customFormat="false" ht="45.75" hidden="false" customHeight="true" outlineLevel="0" collapsed="false">
      <c r="A5" s="9" t="s">
        <v>7</v>
      </c>
      <c r="B5" s="19" t="s">
        <v>49</v>
      </c>
      <c r="C5" s="20" t="s">
        <v>50</v>
      </c>
    </row>
    <row r="6" customFormat="false" ht="45.75" hidden="false" customHeight="true" outlineLevel="0" collapsed="false">
      <c r="A6" s="14" t="s">
        <v>51</v>
      </c>
      <c r="B6" s="21" t="s">
        <v>52</v>
      </c>
      <c r="C6" s="22" t="s">
        <v>53</v>
      </c>
    </row>
    <row r="7" customFormat="false" ht="45.75" hidden="false" customHeight="true" outlineLevel="0" collapsed="false">
      <c r="A7" s="9" t="s">
        <v>54</v>
      </c>
      <c r="B7" s="19" t="s">
        <v>55</v>
      </c>
      <c r="C7" s="20" t="s">
        <v>56</v>
      </c>
    </row>
    <row r="8" customFormat="false" ht="45.75" hidden="false" customHeight="true" outlineLevel="0" collapsed="false">
      <c r="A8" s="14" t="s">
        <v>57</v>
      </c>
      <c r="B8" s="21" t="s">
        <v>58</v>
      </c>
      <c r="C8" s="22" t="s">
        <v>59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7" t="s">
        <v>60</v>
      </c>
      <c r="B1" s="17"/>
      <c r="C1" s="17"/>
    </row>
    <row r="2" customFormat="false" ht="15" hidden="false" customHeight="false" outlineLevel="0" collapsed="false">
      <c r="A2" s="18" t="s">
        <v>3</v>
      </c>
      <c r="B2" s="18" t="s">
        <v>61</v>
      </c>
      <c r="C2" s="18" t="s">
        <v>62</v>
      </c>
    </row>
    <row r="3" customFormat="false" ht="63.75" hidden="false" customHeight="true" outlineLevel="0" collapsed="false">
      <c r="A3" s="9" t="s">
        <v>14</v>
      </c>
      <c r="B3" s="20" t="s">
        <v>63</v>
      </c>
      <c r="C3" s="23" t="s">
        <v>64</v>
      </c>
    </row>
    <row r="4" customFormat="false" ht="63.75" hidden="false" customHeight="true" outlineLevel="0" collapsed="false">
      <c r="A4" s="14" t="s">
        <v>17</v>
      </c>
      <c r="B4" s="22" t="s">
        <v>65</v>
      </c>
      <c r="C4" s="24" t="s">
        <v>66</v>
      </c>
    </row>
    <row r="5" customFormat="false" ht="63.75" hidden="false" customHeight="true" outlineLevel="0" collapsed="false">
      <c r="A5" s="9" t="s">
        <v>67</v>
      </c>
      <c r="B5" s="20" t="s">
        <v>68</v>
      </c>
      <c r="C5" s="23" t="s">
        <v>69</v>
      </c>
    </row>
    <row r="6" customFormat="false" ht="63.75" hidden="false" customHeight="true" outlineLevel="0" collapsed="false">
      <c r="A6" s="14" t="s">
        <v>22</v>
      </c>
      <c r="B6" s="22" t="s">
        <v>70</v>
      </c>
      <c r="C6" s="24" t="s">
        <v>71</v>
      </c>
    </row>
    <row r="7" customFormat="false" ht="63.75" hidden="false" customHeight="true" outlineLevel="0" collapsed="false">
      <c r="A7" s="9" t="s">
        <v>24</v>
      </c>
      <c r="B7" s="20" t="s">
        <v>72</v>
      </c>
      <c r="C7" s="23" t="s">
        <v>73</v>
      </c>
    </row>
    <row r="8" customFormat="false" ht="63.75" hidden="false" customHeight="true" outlineLevel="0" collapsed="false">
      <c r="A8" s="14" t="s">
        <v>27</v>
      </c>
      <c r="B8" s="22" t="s">
        <v>74</v>
      </c>
      <c r="C8" s="24" t="s">
        <v>75</v>
      </c>
    </row>
    <row r="9" customFormat="false" ht="63.75" hidden="false" customHeight="true" outlineLevel="0" collapsed="false">
      <c r="A9" s="9" t="s">
        <v>30</v>
      </c>
      <c r="B9" s="20" t="s">
        <v>76</v>
      </c>
      <c r="C9" s="23" t="s">
        <v>77</v>
      </c>
    </row>
    <row r="10" customFormat="false" ht="63.75" hidden="false" customHeight="true" outlineLevel="0" collapsed="false">
      <c r="A10" s="14" t="s">
        <v>33</v>
      </c>
      <c r="B10" s="22" t="s">
        <v>78</v>
      </c>
      <c r="C10" s="24" t="s">
        <v>79</v>
      </c>
    </row>
    <row r="11" customFormat="false" ht="63.75" hidden="false" customHeight="true" outlineLevel="0" collapsed="false">
      <c r="A11" s="9" t="s">
        <v>36</v>
      </c>
      <c r="B11" s="20" t="s">
        <v>80</v>
      </c>
      <c r="C11" s="23" t="s">
        <v>81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2026-07-28T18:49:07Z</dcterms:created>
  <dc:creator>openpyxl</dc:creator>
  <dc:description/>
  <dc:language>en-US</dc:language>
  <cp:lastModifiedBy/>
  <dcterms:modified xsi:type="dcterms:W3CDTF">2026-07-28T18:49:07Z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